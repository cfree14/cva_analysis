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mall Coastal Sharks and Smooth" sheetId="1" r:id="rId4"/>
    <sheet state="visible" name="Billfish and Swordfish" sheetId="2" r:id="rId5"/>
    <sheet state="visible" name="Large Coastal Sharks" sheetId="3" r:id="rId6"/>
    <sheet state="visible" name="Pelagic Sharks" sheetId="4" r:id="rId7"/>
    <sheet state="visible" name="Tuna" sheetId="5" r:id="rId8"/>
  </sheets>
  <definedNames/>
  <calcPr/>
</workbook>
</file>

<file path=xl/sharedStrings.xml><?xml version="1.0" encoding="utf-8"?>
<sst xmlns="http://schemas.openxmlformats.org/spreadsheetml/2006/main" count="260" uniqueCount="130">
  <si>
    <t>Common Name</t>
  </si>
  <si>
    <t>Scientific Name</t>
  </si>
  <si>
    <t>Species Group</t>
  </si>
  <si>
    <t>Uncertainty Score-Scorer 1</t>
  </si>
  <si>
    <t>Uncertainity Score-Scorer 2</t>
  </si>
  <si>
    <t>Uncertainty Score-Scorer 3</t>
  </si>
  <si>
    <t>Average</t>
  </si>
  <si>
    <t>Blacknose shark - Atlantic stock</t>
  </si>
  <si>
    <t>Carcharhinus acronotus</t>
  </si>
  <si>
    <t>SCS &amp; Smoothhound</t>
  </si>
  <si>
    <t>Blacknose shark - Gulf of Mexico stock</t>
  </si>
  <si>
    <t>Bonnethead shark - Atlantic stock</t>
  </si>
  <si>
    <t>Sphyrna tiburo</t>
  </si>
  <si>
    <t>Bonnethead shark - Gulf of Mexico stock</t>
  </si>
  <si>
    <t>Atlantic sharpnose shark - Atlantic stock</t>
  </si>
  <si>
    <t>Rhizoprionodon terraenovae</t>
  </si>
  <si>
    <t>Atlantic sharpnose shark - Gulf of Mexico stock</t>
  </si>
  <si>
    <t>Caribbean sharpnose shark</t>
  </si>
  <si>
    <t>Rhizoprionodon porosus</t>
  </si>
  <si>
    <t>NO EXPOSURE ANALYSIS</t>
  </si>
  <si>
    <t>Finetooth shark</t>
  </si>
  <si>
    <t>Carcharhinus isodon</t>
  </si>
  <si>
    <t>Florida smoothhound shark - Gulf of Mexico complex stock</t>
  </si>
  <si>
    <t>Mustelus norrisi</t>
  </si>
  <si>
    <t>Gulf smoothhound shark - Gulf of Mexico complex stock</t>
  </si>
  <si>
    <t>Mustelus sinusmexicanus</t>
  </si>
  <si>
    <t>Smooth dogfish shark - Atlantic stock</t>
  </si>
  <si>
    <t>Mustelus canis</t>
  </si>
  <si>
    <t>Smooth dogfish shark - Gulf of Mexico complex stock</t>
  </si>
  <si>
    <t>Uncertainty Score-Scorer 4</t>
  </si>
  <si>
    <t>Uncertainity Score-Scorer 5</t>
  </si>
  <si>
    <t>Blue marlin</t>
  </si>
  <si>
    <t>Makaira nigricans</t>
  </si>
  <si>
    <t>Billfish/Swordfish</t>
  </si>
  <si>
    <t>Longbill spearfish</t>
  </si>
  <si>
    <t>Tetrapturus pfluegeri</t>
  </si>
  <si>
    <t>North Atlantic swordfish</t>
  </si>
  <si>
    <t>Xiphias gladius</t>
  </si>
  <si>
    <t>Roundscale spearfish</t>
  </si>
  <si>
    <t>Tetrapturus georgii</t>
  </si>
  <si>
    <t>West Atlantic sailfish</t>
  </si>
  <si>
    <t>Istiophorus platypterus</t>
  </si>
  <si>
    <t>White marlin</t>
  </si>
  <si>
    <t>Kajikia albida</t>
  </si>
  <si>
    <t>Uncertainty Score-Scorer 6</t>
  </si>
  <si>
    <t>Atlantic angel shark - Atlantic</t>
  </si>
  <si>
    <t>Squatina dumerili</t>
  </si>
  <si>
    <t>Atlantic angel shark - Gulf of Mexico</t>
  </si>
  <si>
    <t>Blacktip shark - Atlantic stock</t>
  </si>
  <si>
    <t>Carcharhinus limbatus</t>
  </si>
  <si>
    <t>LCS</t>
  </si>
  <si>
    <t>Blacktip shark - Gulf of Mexico stock</t>
  </si>
  <si>
    <t>Bigeye sand tiger</t>
  </si>
  <si>
    <t>Odontaspis noronhai</t>
  </si>
  <si>
    <t>Bignose shark</t>
  </si>
  <si>
    <t>Carcharhinus altimus</t>
  </si>
  <si>
    <t>Bull shark</t>
  </si>
  <si>
    <t>Carcharhinus leucas</t>
  </si>
  <si>
    <t>Caribbean reef shark</t>
  </si>
  <si>
    <t>Carcharhinus perezii</t>
  </si>
  <si>
    <t>Dusky shark</t>
  </si>
  <si>
    <t>Carcharhinus obscurus</t>
  </si>
  <si>
    <t>Galapagos shark</t>
  </si>
  <si>
    <t>Carcharhinus galapagensis</t>
  </si>
  <si>
    <t>Great hammerhead shark</t>
  </si>
  <si>
    <t>Sphyrna mokarran</t>
  </si>
  <si>
    <t>Lemon shark</t>
  </si>
  <si>
    <t>Negaprion brevirostris</t>
  </si>
  <si>
    <t>Narrowtooth shark</t>
  </si>
  <si>
    <t>Carcharhinus brachyurus</t>
  </si>
  <si>
    <t>Night shark</t>
  </si>
  <si>
    <t>Carcharhinus signatus</t>
  </si>
  <si>
    <t>Nurse shark</t>
  </si>
  <si>
    <t>Ginglymostoma cirratum</t>
  </si>
  <si>
    <t>Sand tiger</t>
  </si>
  <si>
    <t>Carcharias taurus</t>
  </si>
  <si>
    <t>Sandbar shark</t>
  </si>
  <si>
    <t>Carcharhinus plumbeus</t>
  </si>
  <si>
    <t>Scalloped hammerhead shark</t>
  </si>
  <si>
    <t>Sphyrna lewini</t>
  </si>
  <si>
    <t>Silky shark</t>
  </si>
  <si>
    <t>Carcharhinus falciformis</t>
  </si>
  <si>
    <t>Smalltail shark</t>
  </si>
  <si>
    <t>Carcharhinus porosus</t>
  </si>
  <si>
    <t>Smooth hammerhead shark</t>
  </si>
  <si>
    <t>Sphyrna zygaena</t>
  </si>
  <si>
    <t>Spinner shark</t>
  </si>
  <si>
    <t>Carcharhinus brevipinna</t>
  </si>
  <si>
    <t>Tiger shark</t>
  </si>
  <si>
    <t>Galeocerdo cuvier</t>
  </si>
  <si>
    <t>White shark</t>
  </si>
  <si>
    <t>Carcharodon carcharias</t>
  </si>
  <si>
    <t>Uncertainity Score-Scorer 7</t>
  </si>
  <si>
    <t>Basking shark</t>
  </si>
  <si>
    <t>Cetorhinus maximus</t>
  </si>
  <si>
    <t>Pelagic sharks</t>
  </si>
  <si>
    <t>Sixgill shark</t>
  </si>
  <si>
    <t>Hexanchus nakamurai</t>
  </si>
  <si>
    <t>Bigeye thresher shark</t>
  </si>
  <si>
    <t>Alopias superciliosus</t>
  </si>
  <si>
    <t>Longfin mako shark</t>
  </si>
  <si>
    <t>Isurus paucus</t>
  </si>
  <si>
    <t>North Atlantic blue shark</t>
  </si>
  <si>
    <t>Prionace glauca</t>
  </si>
  <si>
    <t>North Atlantic shortfin mako shark</t>
  </si>
  <si>
    <t>Isurus oxyrinchus</t>
  </si>
  <si>
    <t>Northwest Atlantic porbeagle shark</t>
  </si>
  <si>
    <t>Lamna nasus</t>
  </si>
  <si>
    <t>Oceanic whitetip shark</t>
  </si>
  <si>
    <t>Carcharhinus longimanus</t>
  </si>
  <si>
    <t>Sevengill shark</t>
  </si>
  <si>
    <t>Heptranchias perlo</t>
  </si>
  <si>
    <t>Hexanchus griseus</t>
  </si>
  <si>
    <t>Thresher shark</t>
  </si>
  <si>
    <t>Alopias vulpinus</t>
  </si>
  <si>
    <t>Whale shark</t>
  </si>
  <si>
    <t>Rhincodon typus</t>
  </si>
  <si>
    <t>Uncertainty Score-Scorer 8</t>
  </si>
  <si>
    <t>Uncertainity Score-Scorer 9</t>
  </si>
  <si>
    <t>Bigeye tuna</t>
  </si>
  <si>
    <t>Thunnus obesus</t>
  </si>
  <si>
    <t>Tunas</t>
  </si>
  <si>
    <t>North Atlantic albacore tuna</t>
  </si>
  <si>
    <t>Thunnus alalunga</t>
  </si>
  <si>
    <t>West Atlantic bluefin tuna</t>
  </si>
  <si>
    <t>Thunnus thynnus</t>
  </si>
  <si>
    <t>West Atlantic skipjack tuna</t>
  </si>
  <si>
    <t>Katsuwonus pelamis</t>
  </si>
  <si>
    <t>Yellowfin tuna</t>
  </si>
  <si>
    <t>Thunnus albacares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</si>
</sst>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22.0"/>
    <col customWidth="1" min="3" max="3" width="16.88"/>
    <col customWidth="1" min="4" max="4" width="26.25"/>
    <col customWidth="1" min="5" max="5" width="27.0"/>
    <col customWidth="1" min="6" max="6" width="23.75"/>
    <col customWidth="1" min="7" max="7" width="21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4" t="s">
        <v>8</v>
      </c>
      <c r="C2" s="4" t="s">
        <v>9</v>
      </c>
      <c r="D2" s="5">
        <v>3.0</v>
      </c>
      <c r="E2" s="5">
        <v>3.0</v>
      </c>
      <c r="F2" s="5">
        <v>3.0</v>
      </c>
      <c r="G2" s="6">
        <f t="shared" ref="G2:G7" si="1">AVERAGE(D2:F2)</f>
        <v>3</v>
      </c>
    </row>
    <row r="3">
      <c r="A3" s="3" t="s">
        <v>10</v>
      </c>
      <c r="B3" s="4" t="s">
        <v>8</v>
      </c>
      <c r="C3" s="4" t="s">
        <v>9</v>
      </c>
      <c r="D3" s="5">
        <v>3.0</v>
      </c>
      <c r="E3" s="5">
        <v>2.5</v>
      </c>
      <c r="F3" s="5">
        <v>2.5</v>
      </c>
      <c r="G3" s="6">
        <f t="shared" si="1"/>
        <v>2.666666667</v>
      </c>
    </row>
    <row r="4">
      <c r="A4" s="3" t="s">
        <v>11</v>
      </c>
      <c r="B4" s="4" t="s">
        <v>12</v>
      </c>
      <c r="C4" s="4" t="s">
        <v>9</v>
      </c>
      <c r="D4" s="5">
        <v>3.0</v>
      </c>
      <c r="E4" s="5">
        <v>3.0</v>
      </c>
      <c r="F4" s="5">
        <v>3.0</v>
      </c>
      <c r="G4" s="6">
        <f t="shared" si="1"/>
        <v>3</v>
      </c>
    </row>
    <row r="5">
      <c r="A5" s="3" t="s">
        <v>13</v>
      </c>
      <c r="B5" s="4" t="s">
        <v>12</v>
      </c>
      <c r="C5" s="4" t="s">
        <v>9</v>
      </c>
      <c r="D5" s="5">
        <v>3.0</v>
      </c>
      <c r="E5" s="5">
        <v>2.5</v>
      </c>
      <c r="F5" s="5">
        <v>2.5</v>
      </c>
      <c r="G5" s="6">
        <f t="shared" si="1"/>
        <v>2.666666667</v>
      </c>
    </row>
    <row r="6">
      <c r="A6" s="3" t="s">
        <v>14</v>
      </c>
      <c r="B6" s="4" t="s">
        <v>15</v>
      </c>
      <c r="C6" s="4" t="s">
        <v>9</v>
      </c>
      <c r="D6" s="5">
        <v>3.0</v>
      </c>
      <c r="E6" s="5">
        <v>3.0</v>
      </c>
      <c r="F6" s="5">
        <v>3.0</v>
      </c>
      <c r="G6" s="6">
        <f t="shared" si="1"/>
        <v>3</v>
      </c>
    </row>
    <row r="7">
      <c r="A7" s="3" t="s">
        <v>16</v>
      </c>
      <c r="B7" s="4" t="s">
        <v>15</v>
      </c>
      <c r="C7" s="4" t="s">
        <v>9</v>
      </c>
      <c r="D7" s="5">
        <v>3.0</v>
      </c>
      <c r="E7" s="5">
        <v>2.5</v>
      </c>
      <c r="F7" s="5">
        <v>2.5</v>
      </c>
      <c r="G7" s="6">
        <f t="shared" si="1"/>
        <v>2.666666667</v>
      </c>
    </row>
    <row r="8">
      <c r="A8" s="4" t="s">
        <v>17</v>
      </c>
      <c r="B8" s="4" t="s">
        <v>18</v>
      </c>
      <c r="C8" s="4" t="s">
        <v>9</v>
      </c>
      <c r="D8" s="5" t="s">
        <v>19</v>
      </c>
      <c r="E8" s="5" t="s">
        <v>19</v>
      </c>
      <c r="F8" s="5" t="s">
        <v>19</v>
      </c>
      <c r="G8" s="5" t="s">
        <v>19</v>
      </c>
    </row>
    <row r="9">
      <c r="A9" s="4" t="s">
        <v>20</v>
      </c>
      <c r="B9" s="4" t="s">
        <v>21</v>
      </c>
      <c r="C9" s="4" t="s">
        <v>9</v>
      </c>
      <c r="D9" s="5">
        <v>3.0</v>
      </c>
      <c r="E9" s="5">
        <v>2.5</v>
      </c>
      <c r="F9" s="5">
        <v>2.3</v>
      </c>
      <c r="G9" s="6">
        <f>AVERAGE(D9:F9)</f>
        <v>2.6</v>
      </c>
    </row>
    <row r="10">
      <c r="A10" s="3" t="s">
        <v>22</v>
      </c>
      <c r="B10" s="4" t="s">
        <v>23</v>
      </c>
      <c r="C10" s="4" t="s">
        <v>9</v>
      </c>
      <c r="D10" s="5" t="s">
        <v>19</v>
      </c>
      <c r="E10" s="5" t="s">
        <v>19</v>
      </c>
      <c r="F10" s="5" t="s">
        <v>19</v>
      </c>
      <c r="G10" s="5" t="s">
        <v>19</v>
      </c>
    </row>
    <row r="11">
      <c r="A11" s="3" t="s">
        <v>24</v>
      </c>
      <c r="B11" s="4" t="s">
        <v>25</v>
      </c>
      <c r="C11" s="4" t="s">
        <v>9</v>
      </c>
      <c r="D11" s="5" t="s">
        <v>19</v>
      </c>
      <c r="E11" s="5" t="s">
        <v>19</v>
      </c>
      <c r="F11" s="5" t="s">
        <v>19</v>
      </c>
      <c r="G11" s="5" t="s">
        <v>19</v>
      </c>
    </row>
    <row r="12">
      <c r="A12" s="3" t="s">
        <v>26</v>
      </c>
      <c r="B12" s="4" t="s">
        <v>27</v>
      </c>
      <c r="C12" s="4" t="s">
        <v>9</v>
      </c>
      <c r="D12" s="5">
        <v>3.0</v>
      </c>
      <c r="E12" s="5">
        <v>3.0</v>
      </c>
      <c r="F12" s="5">
        <v>3.0</v>
      </c>
      <c r="G12" s="6">
        <f>AVERAGE(D12:F12)</f>
        <v>3</v>
      </c>
    </row>
    <row r="13">
      <c r="A13" s="3" t="s">
        <v>28</v>
      </c>
      <c r="B13" s="4" t="s">
        <v>27</v>
      </c>
      <c r="C13" s="4" t="s">
        <v>9</v>
      </c>
      <c r="D13" s="5" t="s">
        <v>19</v>
      </c>
      <c r="E13" s="5" t="s">
        <v>19</v>
      </c>
      <c r="F13" s="5" t="s">
        <v>19</v>
      </c>
      <c r="G13" s="5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7.75"/>
    <col customWidth="1" min="3" max="3" width="13.63"/>
    <col customWidth="1" min="4" max="4" width="26.25"/>
    <col customWidth="1" min="5" max="5" width="27.0"/>
    <col customWidth="1" min="6" max="6" width="23.75"/>
    <col customWidth="1" min="7" max="7" width="21.75"/>
  </cols>
  <sheetData>
    <row r="1">
      <c r="A1" s="1" t="s">
        <v>0</v>
      </c>
      <c r="B1" s="1" t="s">
        <v>1</v>
      </c>
      <c r="C1" s="1" t="s">
        <v>2</v>
      </c>
      <c r="D1" s="2" t="s">
        <v>29</v>
      </c>
      <c r="E1" s="2" t="s">
        <v>30</v>
      </c>
      <c r="F1" s="2" t="s">
        <v>5</v>
      </c>
      <c r="G1" s="2" t="s">
        <v>6</v>
      </c>
    </row>
    <row r="2">
      <c r="A2" s="4" t="s">
        <v>31</v>
      </c>
      <c r="B2" s="4" t="s">
        <v>32</v>
      </c>
      <c r="C2" s="4" t="s">
        <v>33</v>
      </c>
      <c r="D2" s="5">
        <v>3.0</v>
      </c>
      <c r="E2" s="5">
        <v>3.0</v>
      </c>
      <c r="F2" s="5">
        <v>2.7</v>
      </c>
      <c r="G2" s="6">
        <f>AVERAGE(D2:F2)</f>
        <v>2.9</v>
      </c>
    </row>
    <row r="3">
      <c r="A3" s="4" t="s">
        <v>34</v>
      </c>
      <c r="B3" s="4" t="s">
        <v>35</v>
      </c>
      <c r="C3" s="4" t="s">
        <v>33</v>
      </c>
      <c r="D3" s="5" t="s">
        <v>19</v>
      </c>
      <c r="E3" s="5" t="s">
        <v>19</v>
      </c>
      <c r="F3" s="5" t="s">
        <v>19</v>
      </c>
      <c r="G3" s="5" t="s">
        <v>19</v>
      </c>
    </row>
    <row r="4">
      <c r="A4" s="4" t="s">
        <v>36</v>
      </c>
      <c r="B4" s="4" t="s">
        <v>37</v>
      </c>
      <c r="C4" s="4" t="s">
        <v>33</v>
      </c>
      <c r="D4" s="5">
        <v>3.0</v>
      </c>
      <c r="E4" s="5">
        <v>3.0</v>
      </c>
      <c r="F4" s="5">
        <v>3.0</v>
      </c>
      <c r="G4" s="6">
        <f>AVERAGE(D4:F4)</f>
        <v>3</v>
      </c>
    </row>
    <row r="5">
      <c r="A5" s="4" t="s">
        <v>38</v>
      </c>
      <c r="B5" s="4" t="s">
        <v>39</v>
      </c>
      <c r="C5" s="4" t="s">
        <v>33</v>
      </c>
      <c r="D5" s="5" t="s">
        <v>19</v>
      </c>
      <c r="E5" s="5" t="s">
        <v>19</v>
      </c>
      <c r="F5" s="5" t="s">
        <v>19</v>
      </c>
      <c r="G5" s="5" t="s">
        <v>19</v>
      </c>
    </row>
    <row r="6">
      <c r="A6" s="4" t="s">
        <v>40</v>
      </c>
      <c r="B6" s="3" t="s">
        <v>41</v>
      </c>
      <c r="C6" s="4" t="s">
        <v>33</v>
      </c>
      <c r="D6" s="5">
        <v>3.0</v>
      </c>
      <c r="E6" s="5">
        <v>3.0</v>
      </c>
      <c r="F6" s="5">
        <v>2.7</v>
      </c>
      <c r="G6" s="6">
        <f t="shared" ref="G6:G7" si="1">AVERAGE(D6:F6)</f>
        <v>2.9</v>
      </c>
    </row>
    <row r="7">
      <c r="A7" s="4" t="s">
        <v>42</v>
      </c>
      <c r="B7" s="4" t="s">
        <v>43</v>
      </c>
      <c r="C7" s="4" t="s">
        <v>33</v>
      </c>
      <c r="D7" s="5">
        <v>3.0</v>
      </c>
      <c r="E7" s="5">
        <v>2.7</v>
      </c>
      <c r="F7" s="5">
        <v>2.7</v>
      </c>
      <c r="G7" s="6">
        <f t="shared" si="1"/>
        <v>2.8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2" max="2" width="21.25"/>
    <col customWidth="1" min="3" max="3" width="16.88"/>
    <col customWidth="1" min="4" max="4" width="25.88"/>
    <col customWidth="1" min="5" max="5" width="27.0"/>
    <col customWidth="1" min="6" max="6" width="23.75"/>
    <col customWidth="1" min="7" max="7" width="21.75"/>
  </cols>
  <sheetData>
    <row r="1">
      <c r="A1" s="1" t="s">
        <v>0</v>
      </c>
      <c r="B1" s="1" t="s">
        <v>1</v>
      </c>
      <c r="C1" s="1" t="s">
        <v>2</v>
      </c>
      <c r="D1" s="2" t="s">
        <v>44</v>
      </c>
      <c r="E1" s="2" t="s">
        <v>4</v>
      </c>
      <c r="F1" s="2" t="s">
        <v>5</v>
      </c>
      <c r="G1" s="2" t="s">
        <v>6</v>
      </c>
    </row>
    <row r="2">
      <c r="A2" s="4" t="s">
        <v>45</v>
      </c>
      <c r="B2" s="4" t="s">
        <v>46</v>
      </c>
      <c r="C2" s="4" t="s">
        <v>9</v>
      </c>
      <c r="D2" s="5">
        <v>3.0</v>
      </c>
      <c r="E2" s="5">
        <v>3.0</v>
      </c>
      <c r="F2" s="5">
        <v>3.0</v>
      </c>
      <c r="G2" s="6">
        <f t="shared" ref="G2:G5" si="1">AVERAGE(D2:F2)</f>
        <v>3</v>
      </c>
    </row>
    <row r="3">
      <c r="A3" s="4" t="s">
        <v>47</v>
      </c>
      <c r="B3" s="4" t="s">
        <v>46</v>
      </c>
      <c r="C3" s="4" t="s">
        <v>9</v>
      </c>
      <c r="D3" s="5">
        <v>3.0</v>
      </c>
      <c r="E3" s="5">
        <v>3.0</v>
      </c>
      <c r="F3" s="5">
        <v>3.0</v>
      </c>
      <c r="G3" s="6">
        <f t="shared" si="1"/>
        <v>3</v>
      </c>
    </row>
    <row r="4">
      <c r="A4" s="3" t="s">
        <v>48</v>
      </c>
      <c r="B4" s="4" t="s">
        <v>49</v>
      </c>
      <c r="C4" s="4" t="s">
        <v>50</v>
      </c>
      <c r="D4" s="5">
        <v>3.0</v>
      </c>
      <c r="E4" s="5">
        <v>3.0</v>
      </c>
      <c r="F4" s="5">
        <v>3.0</v>
      </c>
      <c r="G4" s="6">
        <f t="shared" si="1"/>
        <v>3</v>
      </c>
    </row>
    <row r="5">
      <c r="A5" s="3" t="s">
        <v>51</v>
      </c>
      <c r="B5" s="4" t="s">
        <v>49</v>
      </c>
      <c r="C5" s="4" t="s">
        <v>50</v>
      </c>
      <c r="D5" s="5">
        <v>3.0</v>
      </c>
      <c r="E5" s="5">
        <v>3.0</v>
      </c>
      <c r="F5" s="5">
        <v>2.7</v>
      </c>
      <c r="G5" s="6">
        <f t="shared" si="1"/>
        <v>2.9</v>
      </c>
    </row>
    <row r="6">
      <c r="A6" s="4" t="s">
        <v>52</v>
      </c>
      <c r="B6" s="4" t="s">
        <v>53</v>
      </c>
      <c r="C6" s="4" t="s">
        <v>50</v>
      </c>
      <c r="D6" s="5" t="s">
        <v>19</v>
      </c>
      <c r="E6" s="5" t="s">
        <v>19</v>
      </c>
      <c r="F6" s="5" t="s">
        <v>19</v>
      </c>
      <c r="G6" s="5" t="s">
        <v>19</v>
      </c>
    </row>
    <row r="7">
      <c r="A7" s="4" t="s">
        <v>54</v>
      </c>
      <c r="B7" s="4" t="s">
        <v>55</v>
      </c>
      <c r="C7" s="4" t="s">
        <v>50</v>
      </c>
      <c r="D7" s="5" t="s">
        <v>19</v>
      </c>
      <c r="E7" s="5" t="s">
        <v>19</v>
      </c>
      <c r="F7" s="5" t="s">
        <v>19</v>
      </c>
      <c r="G7" s="5" t="s">
        <v>19</v>
      </c>
    </row>
    <row r="8">
      <c r="A8" s="4" t="s">
        <v>56</v>
      </c>
      <c r="B8" s="4" t="s">
        <v>57</v>
      </c>
      <c r="C8" s="4" t="s">
        <v>50</v>
      </c>
      <c r="D8" s="5">
        <v>3.0</v>
      </c>
      <c r="E8" s="5">
        <v>3.0</v>
      </c>
      <c r="F8" s="5">
        <v>2.7</v>
      </c>
      <c r="G8" s="6">
        <f t="shared" ref="G8:G10" si="2">AVERAGE(D8:F8)</f>
        <v>2.9</v>
      </c>
    </row>
    <row r="9">
      <c r="A9" s="4" t="s">
        <v>58</v>
      </c>
      <c r="B9" s="4" t="s">
        <v>59</v>
      </c>
      <c r="C9" s="4" t="s">
        <v>50</v>
      </c>
      <c r="D9" s="5">
        <v>2.5</v>
      </c>
      <c r="E9" s="5">
        <v>2.0</v>
      </c>
      <c r="F9" s="5">
        <v>2.0</v>
      </c>
      <c r="G9" s="6">
        <f t="shared" si="2"/>
        <v>2.166666667</v>
      </c>
    </row>
    <row r="10">
      <c r="A10" s="4" t="s">
        <v>60</v>
      </c>
      <c r="B10" s="4" t="s">
        <v>61</v>
      </c>
      <c r="C10" s="4" t="s">
        <v>50</v>
      </c>
      <c r="D10" s="5">
        <v>3.0</v>
      </c>
      <c r="E10" s="5">
        <v>2.5</v>
      </c>
      <c r="F10" s="5">
        <v>3.0</v>
      </c>
      <c r="G10" s="6">
        <f t="shared" si="2"/>
        <v>2.833333333</v>
      </c>
    </row>
    <row r="11">
      <c r="A11" s="4" t="s">
        <v>62</v>
      </c>
      <c r="B11" s="4" t="s">
        <v>63</v>
      </c>
      <c r="C11" s="4" t="s">
        <v>50</v>
      </c>
      <c r="D11" s="5" t="s">
        <v>19</v>
      </c>
      <c r="E11" s="5" t="s">
        <v>19</v>
      </c>
      <c r="F11" s="5" t="s">
        <v>19</v>
      </c>
      <c r="G11" s="5" t="s">
        <v>19</v>
      </c>
    </row>
    <row r="12">
      <c r="A12" s="3" t="s">
        <v>64</v>
      </c>
      <c r="B12" s="4" t="s">
        <v>65</v>
      </c>
      <c r="C12" s="4" t="s">
        <v>50</v>
      </c>
      <c r="D12" s="5">
        <v>2.5</v>
      </c>
      <c r="E12" s="5">
        <v>2.5</v>
      </c>
      <c r="F12" s="5">
        <v>2.3</v>
      </c>
      <c r="G12" s="6">
        <f t="shared" ref="G12:G13" si="3">AVERAGE(D12:F12)</f>
        <v>2.433333333</v>
      </c>
    </row>
    <row r="13">
      <c r="A13" s="4" t="s">
        <v>66</v>
      </c>
      <c r="B13" s="4" t="s">
        <v>67</v>
      </c>
      <c r="C13" s="4" t="s">
        <v>50</v>
      </c>
      <c r="D13" s="5">
        <v>3.0</v>
      </c>
      <c r="E13" s="5">
        <v>3.0</v>
      </c>
      <c r="F13" s="5">
        <v>2.5</v>
      </c>
      <c r="G13" s="6">
        <f t="shared" si="3"/>
        <v>2.833333333</v>
      </c>
    </row>
    <row r="14">
      <c r="A14" s="4" t="s">
        <v>68</v>
      </c>
      <c r="B14" s="4" t="s">
        <v>69</v>
      </c>
      <c r="C14" s="4" t="s">
        <v>50</v>
      </c>
      <c r="D14" s="5" t="s">
        <v>19</v>
      </c>
      <c r="E14" s="5" t="s">
        <v>19</v>
      </c>
      <c r="F14" s="5" t="s">
        <v>19</v>
      </c>
      <c r="G14" s="5" t="s">
        <v>19</v>
      </c>
    </row>
    <row r="15">
      <c r="A15" s="4" t="s">
        <v>70</v>
      </c>
      <c r="B15" s="4" t="s">
        <v>71</v>
      </c>
      <c r="C15" s="4" t="s">
        <v>50</v>
      </c>
      <c r="D15" s="5">
        <v>2.5</v>
      </c>
      <c r="E15" s="5">
        <v>2.5</v>
      </c>
      <c r="F15" s="5">
        <v>2.5</v>
      </c>
      <c r="G15" s="6">
        <f t="shared" ref="G15:G20" si="4">AVERAGE(D15:F15)</f>
        <v>2.5</v>
      </c>
    </row>
    <row r="16">
      <c r="A16" s="4" t="s">
        <v>72</v>
      </c>
      <c r="B16" s="4" t="s">
        <v>73</v>
      </c>
      <c r="C16" s="4" t="s">
        <v>50</v>
      </c>
      <c r="D16" s="5">
        <v>3.0</v>
      </c>
      <c r="E16" s="5">
        <v>2.0</v>
      </c>
      <c r="F16" s="5">
        <v>2.5</v>
      </c>
      <c r="G16" s="6">
        <f t="shared" si="4"/>
        <v>2.5</v>
      </c>
    </row>
    <row r="17">
      <c r="A17" s="4" t="s">
        <v>74</v>
      </c>
      <c r="B17" s="4" t="s">
        <v>75</v>
      </c>
      <c r="C17" s="4" t="s">
        <v>50</v>
      </c>
      <c r="D17" s="5">
        <v>2.5</v>
      </c>
      <c r="E17" s="5">
        <v>2.0</v>
      </c>
      <c r="F17" s="5">
        <v>2.0</v>
      </c>
      <c r="G17" s="6">
        <f t="shared" si="4"/>
        <v>2.166666667</v>
      </c>
    </row>
    <row r="18">
      <c r="A18" s="4" t="s">
        <v>76</v>
      </c>
      <c r="B18" s="4" t="s">
        <v>77</v>
      </c>
      <c r="C18" s="4" t="s">
        <v>50</v>
      </c>
      <c r="D18" s="5">
        <v>3.0</v>
      </c>
      <c r="E18" s="5">
        <v>2.5</v>
      </c>
      <c r="F18" s="5">
        <v>2.5</v>
      </c>
      <c r="G18" s="6">
        <f t="shared" si="4"/>
        <v>2.666666667</v>
      </c>
    </row>
    <row r="19">
      <c r="A19" s="3" t="s">
        <v>78</v>
      </c>
      <c r="B19" s="4" t="s">
        <v>79</v>
      </c>
      <c r="C19" s="4" t="s">
        <v>50</v>
      </c>
      <c r="D19" s="5">
        <v>3.0</v>
      </c>
      <c r="E19" s="5">
        <v>2.5</v>
      </c>
      <c r="F19" s="5">
        <v>2.3</v>
      </c>
      <c r="G19" s="6">
        <f t="shared" si="4"/>
        <v>2.6</v>
      </c>
    </row>
    <row r="20">
      <c r="A20" s="4" t="s">
        <v>80</v>
      </c>
      <c r="B20" s="4" t="s">
        <v>81</v>
      </c>
      <c r="C20" s="4" t="s">
        <v>50</v>
      </c>
      <c r="D20" s="5">
        <v>2.5</v>
      </c>
      <c r="E20" s="5">
        <v>3.0</v>
      </c>
      <c r="F20" s="5">
        <v>2.3</v>
      </c>
      <c r="G20" s="6">
        <f t="shared" si="4"/>
        <v>2.6</v>
      </c>
    </row>
    <row r="21">
      <c r="A21" s="4" t="s">
        <v>82</v>
      </c>
      <c r="B21" s="4" t="s">
        <v>83</v>
      </c>
      <c r="C21" s="4" t="s">
        <v>9</v>
      </c>
      <c r="D21" s="5" t="s">
        <v>19</v>
      </c>
      <c r="E21" s="5" t="s">
        <v>19</v>
      </c>
      <c r="F21" s="5" t="s">
        <v>19</v>
      </c>
      <c r="G21" s="5" t="s">
        <v>19</v>
      </c>
    </row>
    <row r="22">
      <c r="A22" s="3" t="s">
        <v>84</v>
      </c>
      <c r="B22" s="4" t="s">
        <v>85</v>
      </c>
      <c r="C22" s="4" t="s">
        <v>50</v>
      </c>
      <c r="D22" s="5">
        <v>2.5</v>
      </c>
      <c r="E22" s="5">
        <v>2.5</v>
      </c>
      <c r="F22" s="5">
        <v>2.0</v>
      </c>
      <c r="G22" s="6">
        <f t="shared" ref="G22:G25" si="5">AVERAGE(D22:F22)</f>
        <v>2.333333333</v>
      </c>
    </row>
    <row r="23">
      <c r="A23" s="4" t="s">
        <v>86</v>
      </c>
      <c r="B23" s="4" t="s">
        <v>87</v>
      </c>
      <c r="C23" s="4" t="s">
        <v>50</v>
      </c>
      <c r="D23" s="5">
        <v>2.5</v>
      </c>
      <c r="E23" s="5">
        <v>2.5</v>
      </c>
      <c r="F23" s="5">
        <v>2.3</v>
      </c>
      <c r="G23" s="6">
        <f t="shared" si="5"/>
        <v>2.433333333</v>
      </c>
    </row>
    <row r="24">
      <c r="A24" s="4" t="s">
        <v>88</v>
      </c>
      <c r="B24" s="4" t="s">
        <v>89</v>
      </c>
      <c r="C24" s="4" t="s">
        <v>50</v>
      </c>
      <c r="D24" s="5">
        <v>3.0</v>
      </c>
      <c r="E24" s="5">
        <v>3.0</v>
      </c>
      <c r="F24" s="5">
        <v>2.7</v>
      </c>
      <c r="G24" s="6">
        <f t="shared" si="5"/>
        <v>2.9</v>
      </c>
    </row>
    <row r="25">
      <c r="A25" s="7" t="s">
        <v>90</v>
      </c>
      <c r="B25" s="7" t="s">
        <v>91</v>
      </c>
      <c r="C25" s="4" t="s">
        <v>50</v>
      </c>
      <c r="D25" s="7">
        <v>3.0</v>
      </c>
      <c r="E25" s="5">
        <v>3.0</v>
      </c>
      <c r="F25" s="5">
        <v>3.0</v>
      </c>
      <c r="G25" s="6">
        <f t="shared" si="5"/>
        <v>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19.88"/>
    <col customWidth="1" min="4" max="4" width="25.88"/>
    <col customWidth="1" min="5" max="5" width="27.0"/>
    <col customWidth="1" min="6" max="6" width="23.75"/>
    <col customWidth="1" min="7" max="7" width="21.75"/>
  </cols>
  <sheetData>
    <row r="1">
      <c r="A1" s="1" t="s">
        <v>0</v>
      </c>
      <c r="B1" s="1" t="s">
        <v>1</v>
      </c>
      <c r="C1" s="1" t="s">
        <v>2</v>
      </c>
      <c r="D1" s="2" t="s">
        <v>44</v>
      </c>
      <c r="E1" s="2" t="s">
        <v>92</v>
      </c>
      <c r="F1" s="2" t="s">
        <v>5</v>
      </c>
      <c r="G1" s="2" t="s">
        <v>6</v>
      </c>
    </row>
    <row r="2">
      <c r="A2" s="4" t="s">
        <v>93</v>
      </c>
      <c r="B2" s="4" t="s">
        <v>94</v>
      </c>
      <c r="C2" s="4" t="s">
        <v>95</v>
      </c>
      <c r="D2" s="3">
        <v>3.0</v>
      </c>
      <c r="E2" s="5">
        <v>3.0</v>
      </c>
      <c r="F2" s="5">
        <v>2.5</v>
      </c>
      <c r="G2" s="6">
        <f>AVERAGE(D2:F2)</f>
        <v>2.833333333</v>
      </c>
    </row>
    <row r="3">
      <c r="A3" s="3" t="s">
        <v>96</v>
      </c>
      <c r="B3" s="4" t="s">
        <v>97</v>
      </c>
      <c r="C3" s="4" t="s">
        <v>95</v>
      </c>
      <c r="D3" s="5" t="s">
        <v>19</v>
      </c>
      <c r="E3" s="5" t="s">
        <v>19</v>
      </c>
      <c r="F3" s="5" t="s">
        <v>19</v>
      </c>
      <c r="G3" s="5" t="s">
        <v>19</v>
      </c>
    </row>
    <row r="4">
      <c r="A4" s="4" t="s">
        <v>98</v>
      </c>
      <c r="B4" s="4" t="s">
        <v>99</v>
      </c>
      <c r="C4" s="4" t="s">
        <v>95</v>
      </c>
      <c r="D4" s="3">
        <v>2.0</v>
      </c>
      <c r="E4" s="5">
        <v>2.0</v>
      </c>
      <c r="F4" s="5">
        <v>1.7</v>
      </c>
      <c r="G4" s="6">
        <f t="shared" ref="G4:G9" si="1">AVERAGE(D4:F4)</f>
        <v>1.9</v>
      </c>
    </row>
    <row r="5">
      <c r="A5" s="3" t="s">
        <v>100</v>
      </c>
      <c r="B5" s="4" t="s">
        <v>101</v>
      </c>
      <c r="C5" s="4" t="s">
        <v>95</v>
      </c>
      <c r="D5" s="3">
        <v>2.0</v>
      </c>
      <c r="E5" s="5">
        <v>2.0</v>
      </c>
      <c r="F5" s="5">
        <v>2.0</v>
      </c>
      <c r="G5" s="6">
        <f t="shared" si="1"/>
        <v>2</v>
      </c>
    </row>
    <row r="6">
      <c r="A6" s="4" t="s">
        <v>102</v>
      </c>
      <c r="B6" s="4" t="s">
        <v>103</v>
      </c>
      <c r="C6" s="4" t="s">
        <v>95</v>
      </c>
      <c r="D6" s="3">
        <v>3.0</v>
      </c>
      <c r="E6" s="5">
        <v>3.0</v>
      </c>
      <c r="F6" s="5">
        <v>3.0</v>
      </c>
      <c r="G6" s="6">
        <f t="shared" si="1"/>
        <v>3</v>
      </c>
    </row>
    <row r="7">
      <c r="A7" s="3" t="s">
        <v>104</v>
      </c>
      <c r="B7" s="4" t="s">
        <v>105</v>
      </c>
      <c r="C7" s="4" t="s">
        <v>95</v>
      </c>
      <c r="D7" s="3">
        <v>3.0</v>
      </c>
      <c r="E7" s="5">
        <v>3.0</v>
      </c>
      <c r="F7" s="5">
        <v>2.8</v>
      </c>
      <c r="G7" s="6">
        <f t="shared" si="1"/>
        <v>2.933333333</v>
      </c>
    </row>
    <row r="8">
      <c r="A8" s="3" t="s">
        <v>106</v>
      </c>
      <c r="B8" s="4" t="s">
        <v>107</v>
      </c>
      <c r="C8" s="4" t="s">
        <v>95</v>
      </c>
      <c r="D8" s="3">
        <v>3.0</v>
      </c>
      <c r="E8" s="5">
        <v>3.0</v>
      </c>
      <c r="F8" s="5">
        <v>2.7</v>
      </c>
      <c r="G8" s="6">
        <f t="shared" si="1"/>
        <v>2.9</v>
      </c>
    </row>
    <row r="9">
      <c r="A9" s="4" t="s">
        <v>108</v>
      </c>
      <c r="B9" s="4" t="s">
        <v>109</v>
      </c>
      <c r="C9" s="4" t="s">
        <v>95</v>
      </c>
      <c r="D9" s="3">
        <v>3.0</v>
      </c>
      <c r="E9" s="5">
        <v>3.0</v>
      </c>
      <c r="F9" s="5">
        <v>2.7</v>
      </c>
      <c r="G9" s="6">
        <f t="shared" si="1"/>
        <v>2.9</v>
      </c>
    </row>
    <row r="10">
      <c r="A10" s="3" t="s">
        <v>110</v>
      </c>
      <c r="B10" s="4" t="s">
        <v>111</v>
      </c>
      <c r="C10" s="4" t="s">
        <v>95</v>
      </c>
      <c r="D10" s="3">
        <v>2.3</v>
      </c>
      <c r="E10" s="3"/>
      <c r="F10" s="5">
        <v>2.0</v>
      </c>
      <c r="G10" s="5">
        <v>5.0</v>
      </c>
    </row>
    <row r="11">
      <c r="A11" s="3" t="s">
        <v>96</v>
      </c>
      <c r="B11" s="4" t="s">
        <v>112</v>
      </c>
      <c r="C11" s="4" t="s">
        <v>95</v>
      </c>
      <c r="D11" s="3">
        <v>3.0</v>
      </c>
      <c r="E11" s="3"/>
      <c r="F11" s="5">
        <v>2.7</v>
      </c>
      <c r="G11" s="6">
        <f t="shared" ref="G11:G13" si="2">AVERAGE(D11:F11)</f>
        <v>2.85</v>
      </c>
    </row>
    <row r="12">
      <c r="A12" s="4" t="s">
        <v>113</v>
      </c>
      <c r="B12" s="4" t="s">
        <v>114</v>
      </c>
      <c r="C12" s="4" t="s">
        <v>95</v>
      </c>
      <c r="D12" s="3">
        <v>3.0</v>
      </c>
      <c r="E12" s="5">
        <v>3.0</v>
      </c>
      <c r="F12" s="5">
        <v>3.0</v>
      </c>
      <c r="G12" s="6">
        <f t="shared" si="2"/>
        <v>3</v>
      </c>
    </row>
    <row r="13">
      <c r="A13" s="4" t="s">
        <v>115</v>
      </c>
      <c r="B13" s="4" t="s">
        <v>116</v>
      </c>
      <c r="C13" s="4" t="s">
        <v>95</v>
      </c>
      <c r="D13" s="5">
        <v>3.0</v>
      </c>
      <c r="E13" s="5">
        <v>3.0</v>
      </c>
      <c r="F13" s="5">
        <v>2.5</v>
      </c>
      <c r="G13" s="6">
        <f t="shared" si="2"/>
        <v>2.833333333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2" max="2" width="16.25"/>
    <col customWidth="1" min="4" max="4" width="25.88"/>
    <col customWidth="1" min="5" max="5" width="26.63"/>
    <col customWidth="1" min="6" max="6" width="23.75"/>
  </cols>
  <sheetData>
    <row r="1">
      <c r="A1" s="1" t="s">
        <v>0</v>
      </c>
      <c r="B1" s="1" t="s">
        <v>1</v>
      </c>
      <c r="C1" s="1" t="s">
        <v>2</v>
      </c>
      <c r="D1" s="2" t="s">
        <v>117</v>
      </c>
      <c r="E1" s="2" t="s">
        <v>118</v>
      </c>
      <c r="F1" s="2" t="s">
        <v>5</v>
      </c>
      <c r="G1" s="2" t="s">
        <v>6</v>
      </c>
    </row>
    <row r="2">
      <c r="A2" s="4" t="s">
        <v>119</v>
      </c>
      <c r="B2" s="4" t="s">
        <v>120</v>
      </c>
      <c r="C2" s="4" t="s">
        <v>121</v>
      </c>
      <c r="D2" s="5">
        <v>2.5</v>
      </c>
      <c r="E2" s="5">
        <v>2.8</v>
      </c>
      <c r="F2" s="5">
        <v>2.5</v>
      </c>
      <c r="G2" s="6">
        <f t="shared" ref="G2:G6" si="1">AVERAGE(D2:F2)</f>
        <v>2.6</v>
      </c>
    </row>
    <row r="3">
      <c r="A3" s="3" t="s">
        <v>122</v>
      </c>
      <c r="B3" s="4" t="s">
        <v>123</v>
      </c>
      <c r="C3" s="4" t="s">
        <v>121</v>
      </c>
      <c r="D3" s="5">
        <v>2.5</v>
      </c>
      <c r="E3" s="5">
        <v>2.5</v>
      </c>
      <c r="F3" s="5">
        <v>2.3</v>
      </c>
      <c r="G3" s="6">
        <f t="shared" si="1"/>
        <v>2.433333333</v>
      </c>
    </row>
    <row r="4">
      <c r="A4" s="4" t="s">
        <v>124</v>
      </c>
      <c r="B4" s="4" t="s">
        <v>125</v>
      </c>
      <c r="C4" s="4" t="s">
        <v>121</v>
      </c>
      <c r="D4" s="5">
        <v>3.0</v>
      </c>
      <c r="E4" s="5">
        <v>3.0</v>
      </c>
      <c r="F4" s="5">
        <v>2.8</v>
      </c>
      <c r="G4" s="6">
        <f t="shared" si="1"/>
        <v>2.933333333</v>
      </c>
    </row>
    <row r="5">
      <c r="A5" s="4" t="s">
        <v>126</v>
      </c>
      <c r="B5" s="4" t="s">
        <v>127</v>
      </c>
      <c r="C5" s="4" t="s">
        <v>121</v>
      </c>
      <c r="D5" s="5">
        <v>2.0</v>
      </c>
      <c r="E5" s="5">
        <v>1.5</v>
      </c>
      <c r="F5" s="5">
        <v>2.0</v>
      </c>
      <c r="G5" s="6">
        <f t="shared" si="1"/>
        <v>1.833333333</v>
      </c>
    </row>
    <row r="6">
      <c r="A6" s="4" t="s">
        <v>128</v>
      </c>
      <c r="B6" s="4" t="s">
        <v>129</v>
      </c>
      <c r="C6" s="4" t="s">
        <v>121</v>
      </c>
      <c r="D6" s="5">
        <v>2.5</v>
      </c>
      <c r="E6" s="5">
        <v>2.8</v>
      </c>
      <c r="F6" s="5">
        <v>2.5</v>
      </c>
      <c r="G6" s="6">
        <f t="shared" si="1"/>
        <v>2.6</v>
      </c>
    </row>
  </sheetData>
  <drawing r:id="rId1"/>
</worksheet>
</file>